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参数设定" sheetId="1" state="visible" r:id="rId1"/>
    <sheet xmlns:r="http://schemas.openxmlformats.org/officeDocument/2006/relationships" name="2-规格选择优化器" sheetId="2" state="visible" r:id="rId2"/>
    <sheet xmlns:r="http://schemas.openxmlformats.org/officeDocument/2006/relationships" name="3-聚合效应计算器" sheetId="3" state="visible" r:id="rId3"/>
    <sheet xmlns:r="http://schemas.openxmlformats.org/officeDocument/2006/relationships" name="4-库存策略优化器" sheetId="4" state="visible" r:id="rId4"/>
    <sheet xmlns:r="http://schemas.openxmlformats.org/officeDocument/2006/relationships" name="5-综合仪表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0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888888"/>
      <sz val="9"/>
    </font>
    <font>
      <name val="微软雅黑"/>
      <b val="1"/>
      <color rgb="001a3c6e"/>
      <sz val="11"/>
    </font>
    <font>
      <name val="微软雅黑"/>
      <b val="1"/>
      <color rgb="00ffffff"/>
      <sz val="10"/>
    </font>
    <font>
      <name val="微软雅黑"/>
      <b val="1"/>
      <color rgb="00333333"/>
      <sz val="10"/>
    </font>
    <font>
      <name val="微软雅黑"/>
      <color rgb="00333333"/>
      <sz val="10"/>
    </font>
    <font>
      <name val="微软雅黑"/>
      <b val="1"/>
      <color rgb="00cc0000"/>
      <sz val="10"/>
    </font>
    <font>
      <name val="微软雅黑"/>
      <b val="1"/>
      <color rgb="00006100"/>
      <sz val="10"/>
    </font>
    <font>
      <name val="微软雅黑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0b3"/>
        <bgColor rgb="00ffe0b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4" fontId="6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42" customWidth="1" min="5" max="5"/>
  </cols>
  <sheetData>
    <row r="1" ht="30" customHeight="1">
      <c r="A1" s="1" t="inlineStr">
        <is>
          <t>决策科学案例01 — 采购决策优化 — 参数设定</t>
        </is>
      </c>
    </row>
    <row r="2">
      <c r="A2" s="2" t="inlineStr">
        <is>
          <t>⬛ 黄色 = 可调参数 | 修改后所有Sheet自动重算 | 请启用Excel公式自动计算</t>
        </is>
      </c>
    </row>
    <row r="4">
      <c r="A4" s="3" t="inlineStr">
        <is>
          <t>A. 全局参数</t>
        </is>
      </c>
    </row>
    <row r="5">
      <c r="A5" s="4" t="inlineStr">
        <is>
          <t>参数</t>
        </is>
      </c>
      <c r="B5" s="4" t="inlineStr">
        <is>
          <t>符号</t>
        </is>
      </c>
      <c r="C5" s="4" t="inlineStr">
        <is>
          <t>数值</t>
        </is>
      </c>
      <c r="D5" s="4" t="inlineStr">
        <is>
          <t>单位</t>
        </is>
      </c>
      <c r="E5" s="4" t="inlineStr">
        <is>
          <t>说明</t>
        </is>
      </c>
    </row>
    <row r="6">
      <c r="A6" s="5" t="inlineStr">
        <is>
          <t>年持有成本率</t>
        </is>
      </c>
      <c r="B6" s="6" t="inlineStr">
        <is>
          <t>h</t>
        </is>
      </c>
      <c r="C6" s="7" t="n">
        <v>0.08</v>
      </c>
      <c r="D6" s="6" t="inlineStr">
        <is>
          <t>%</t>
        </is>
      </c>
      <c r="E6" s="8" t="inlineStr">
        <is>
          <t>库存持有成本占物料价值的比例，含资金占用+仓储+保险</t>
        </is>
      </c>
    </row>
    <row r="7">
      <c r="A7" s="5" t="inlineStr">
        <is>
          <t>紧急采购溢价</t>
        </is>
      </c>
      <c r="B7" s="6" t="inlineStr">
        <is>
          <t>e</t>
        </is>
      </c>
      <c r="C7" s="9" t="n">
        <v>1.5</v>
      </c>
      <c r="D7" s="6" t="inlineStr">
        <is>
          <t>倍数</t>
        </is>
      </c>
      <c r="E7" s="8" t="inlineStr">
        <is>
          <t>紧急采购价格 = 正常单价 × 此倍数。底阀可达2.0x</t>
        </is>
      </c>
    </row>
    <row r="8">
      <c r="A8" s="5" t="inlineStr">
        <is>
          <t>计划周期</t>
        </is>
      </c>
      <c r="B8" s="6" t="inlineStr">
        <is>
          <t>T</t>
        </is>
      </c>
      <c r="C8" s="9" t="n">
        <v>12</v>
      </c>
      <c r="D8" s="6" t="inlineStr">
        <is>
          <t>月</t>
        </is>
      </c>
      <c r="E8" s="8" t="inlineStr">
        <is>
          <t>年度滚动计划</t>
        </is>
      </c>
    </row>
    <row r="9">
      <c r="A9" s="5" t="inlineStr">
        <is>
          <t>年资金成本率</t>
        </is>
      </c>
      <c r="B9" s="6" t="inlineStr">
        <is>
          <t>r</t>
        </is>
      </c>
      <c r="C9" s="7" t="n">
        <v>0.035</v>
      </c>
      <c r="D9" s="6" t="inlineStr">
        <is>
          <t>%</t>
        </is>
      </c>
      <c r="E9" s="8" t="inlineStr">
        <is>
          <t>用于折现未来现金流，LPR基准</t>
        </is>
      </c>
    </row>
    <row r="10">
      <c r="A10" s="5" t="inlineStr">
        <is>
          <t>预算上限</t>
        </is>
      </c>
      <c r="B10" s="6" t="inlineStr">
        <is>
          <t>B</t>
        </is>
      </c>
      <c r="C10" s="10" t="n">
        <v>20000000</v>
      </c>
      <c r="D10" s="6" t="inlineStr">
        <is>
          <t>¥/年</t>
        </is>
      </c>
      <c r="E10" s="8" t="inlineStr">
        <is>
          <t>采购年度总预算约束</t>
        </is>
      </c>
    </row>
    <row r="11">
      <c r="A11" s="3" t="inlineStr">
        <is>
          <t>B. 物料主数据（核心优化参数）</t>
        </is>
      </c>
    </row>
    <row r="12">
      <c r="A12" s="4" t="inlineStr">
        <is>
          <t>物料名称</t>
        </is>
      </c>
      <c r="B12" s="4" t="inlineStr">
        <is>
          <t>类别</t>
        </is>
      </c>
      <c r="C12" s="4" t="inlineStr">
        <is>
          <t>单价
(¥/kg)</t>
        </is>
      </c>
      <c r="D12" s="4" t="inlineStr">
        <is>
          <t>MOQ
(吨或台套)</t>
        </is>
      </c>
      <c r="E12" s="4" t="inlineStr">
        <is>
          <t>Lead Time
(周)</t>
        </is>
      </c>
      <c r="F12" s="4" t="inlineStr">
        <is>
          <t>损耗率
标准规格</t>
        </is>
      </c>
      <c r="G12" s="4" t="inlineStr">
        <is>
          <t>损耗率
非标规格</t>
        </is>
      </c>
      <c r="H12" s="4" t="inlineStr">
        <is>
          <t>年用量
(吨)</t>
        </is>
      </c>
      <c r="I12" s="4" t="inlineStr">
        <is>
          <t>单位</t>
        </is>
      </c>
      <c r="J12" s="4" t="inlineStr">
        <is>
          <t>关键特征</t>
        </is>
      </c>
    </row>
    <row r="13">
      <c r="A13" s="5" t="inlineStr">
        <is>
          <t>304/2B不锈钢板</t>
        </is>
      </c>
      <c r="B13" s="6" t="inlineStr">
        <is>
          <t>罐体钢板</t>
        </is>
      </c>
      <c r="C13" s="11" t="n">
        <v>15</v>
      </c>
      <c r="D13" s="9" t="n">
        <v>8</v>
      </c>
      <c r="E13" s="12" t="n">
        <v>7</v>
      </c>
      <c r="F13" s="7" t="n">
        <v>0.2</v>
      </c>
      <c r="G13" s="7" t="n">
        <v>0.05</v>
      </c>
      <c r="H13" s="13" t="n">
        <v>1020</v>
      </c>
      <c r="I13" s="6" t="inlineStr">
        <is>
          <t>吨</t>
        </is>
      </c>
      <c r="J13" s="8" t="inlineStr">
        <is>
          <t>市场定价，无议价权</t>
        </is>
      </c>
    </row>
    <row r="14">
      <c r="A14" s="5" t="inlineStr">
        <is>
          <t>316L不锈钢板</t>
        </is>
      </c>
      <c r="B14" s="6" t="inlineStr">
        <is>
          <t>罐体钢板</t>
        </is>
      </c>
      <c r="C14" s="11" t="n">
        <v>28</v>
      </c>
      <c r="D14" s="9" t="n">
        <v>6</v>
      </c>
      <c r="E14" s="12" t="n">
        <v>7</v>
      </c>
      <c r="F14" s="7" t="n">
        <v>0.2</v>
      </c>
      <c r="G14" s="7" t="n">
        <v>0.05</v>
      </c>
      <c r="H14" s="13" t="n">
        <v>360</v>
      </c>
      <c r="I14" s="6" t="inlineStr">
        <is>
          <t>吨</t>
        </is>
      </c>
      <c r="J14" s="8" t="inlineStr">
        <is>
          <t>特种罐专用，高价值</t>
        </is>
      </c>
    </row>
    <row r="15">
      <c r="A15" s="5" t="inlineStr">
        <is>
          <t>Q345方管</t>
        </is>
      </c>
      <c r="B15" s="6" t="inlineStr">
        <is>
          <t>框架型钢</t>
        </is>
      </c>
      <c r="C15" s="11" t="n">
        <v>6.5</v>
      </c>
      <c r="D15" s="9" t="n">
        <v>3</v>
      </c>
      <c r="E15" s="12" t="n">
        <v>2</v>
      </c>
      <c r="F15" s="7" t="n">
        <v>0.1</v>
      </c>
      <c r="G15" s="7" t="n">
        <v>0.03</v>
      </c>
      <c r="H15" s="13" t="n">
        <v>480</v>
      </c>
      <c r="I15" s="6" t="inlineStr">
        <is>
          <t>吨</t>
        </is>
      </c>
      <c r="J15" s="8" t="inlineStr">
        <is>
          <t>补货快，替代品多</t>
        </is>
      </c>
    </row>
    <row r="16">
      <c r="A16" s="5" t="inlineStr">
        <is>
          <t>DN150法兰</t>
        </is>
      </c>
      <c r="B16" s="6" t="inlineStr">
        <is>
          <t>法兰接管</t>
        </is>
      </c>
      <c r="C16" s="11" t="n">
        <v>45</v>
      </c>
      <c r="D16" s="9" t="n">
        <v>0.5</v>
      </c>
      <c r="E16" s="12" t="n">
        <v>5</v>
      </c>
      <c r="F16" s="7" t="n">
        <v>0.05</v>
      </c>
      <c r="G16" s="7" t="n">
        <v>0.02</v>
      </c>
      <c r="H16" s="13" t="n">
        <v>120</v>
      </c>
      <c r="I16" s="6" t="inlineStr">
        <is>
          <t>吨</t>
        </is>
      </c>
      <c r="J16" s="8" t="inlineStr">
        <is>
          <t>多品类共用</t>
        </is>
      </c>
    </row>
    <row r="17">
      <c r="A17" s="5" t="inlineStr">
        <is>
          <t>底阀组件</t>
        </is>
      </c>
      <c r="B17" s="6" t="inlineStr">
        <is>
          <t>阀门组件</t>
        </is>
      </c>
      <c r="C17" s="11" t="n">
        <v>320</v>
      </c>
      <c r="D17" s="9" t="n">
        <v>0.1</v>
      </c>
      <c r="E17" s="12" t="n">
        <v>10</v>
      </c>
      <c r="F17" s="7" t="n">
        <v>0.02</v>
      </c>
      <c r="G17" s="7" t="n">
        <v>0.02</v>
      </c>
      <c r="H17" s="13" t="n">
        <v>40</v>
      </c>
      <c r="I17" s="6" t="inlineStr">
        <is>
          <t>台套</t>
        </is>
      </c>
      <c r="J17" s="8" t="inlineStr">
        <is>
          <t>瓶颈物料！LT最长、断货代价极高</t>
        </is>
      </c>
    </row>
    <row r="18">
      <c r="A18" s="5" t="inlineStr">
        <is>
          <t>聚氨酯保温</t>
        </is>
      </c>
      <c r="B18" s="6" t="inlineStr">
        <is>
          <t>保温材料</t>
        </is>
      </c>
      <c r="C18" s="11" t="n">
        <v>18</v>
      </c>
      <c r="D18" s="9" t="n">
        <v>2</v>
      </c>
      <c r="E18" s="12" t="n">
        <v>3</v>
      </c>
      <c r="F18" s="7" t="n">
        <v>0.08</v>
      </c>
      <c r="G18" s="7" t="n">
        <v>0.03</v>
      </c>
      <c r="H18" s="13" t="n">
        <v>200</v>
      </c>
      <c r="I18" s="6" t="inlineStr">
        <is>
          <t>吨</t>
        </is>
      </c>
      <c r="J18" s="8" t="inlineStr">
        <is>
          <t>灵活采购，供应商多</t>
        </is>
      </c>
    </row>
    <row r="20">
      <c r="A20" s="3" t="inlineStr">
        <is>
          <t>C. 车间月均需求（吨/月，可修改）</t>
        </is>
      </c>
    </row>
    <row r="21">
      <c r="A21" s="4" t="inlineStr">
        <is>
          <t>物料 \ 车间</t>
        </is>
      </c>
      <c r="B21" s="4" t="inlineStr">
        <is>
          <t>标罐</t>
        </is>
      </c>
      <c r="C21" s="4" t="inlineStr">
        <is>
          <t>特罐</t>
        </is>
      </c>
      <c r="D21" s="4" t="inlineStr">
        <is>
          <t>碳罐</t>
        </is>
      </c>
      <c r="E21" s="4" t="inlineStr">
        <is>
          <t>气体罐</t>
        </is>
      </c>
      <c r="F21" s="4" t="inlineStr">
        <is>
          <t>小件</t>
        </is>
      </c>
    </row>
    <row r="22">
      <c r="A22" s="5" t="inlineStr">
        <is>
          <t>304/2B不锈钢板</t>
        </is>
      </c>
      <c r="B22" s="14" t="n">
        <v>85</v>
      </c>
      <c r="C22" s="14" t="n">
        <v>30</v>
      </c>
      <c r="D22" s="14" t="n">
        <v>15</v>
      </c>
      <c r="E22" s="14" t="n">
        <v>20</v>
      </c>
      <c r="F22" s="14" t="n">
        <v>8</v>
      </c>
    </row>
    <row r="23">
      <c r="A23" s="5" t="inlineStr">
        <is>
          <t>316L不锈钢板</t>
        </is>
      </c>
      <c r="B23" s="14" t="n">
        <v>20</v>
      </c>
      <c r="C23" s="14" t="n">
        <v>50</v>
      </c>
      <c r="D23" s="14" t="n">
        <v>5</v>
      </c>
      <c r="E23" s="14" t="n">
        <v>10</v>
      </c>
      <c r="F23" s="14" t="n">
        <v>3</v>
      </c>
    </row>
    <row r="24">
      <c r="A24" s="5" t="inlineStr">
        <is>
          <t>Q345方管</t>
        </is>
      </c>
      <c r="B24" s="14" t="n">
        <v>40</v>
      </c>
      <c r="C24" s="14" t="n">
        <v>15</v>
      </c>
      <c r="D24" s="14" t="n">
        <v>8</v>
      </c>
      <c r="E24" s="14" t="n">
        <v>10</v>
      </c>
      <c r="F24" s="14" t="n">
        <v>5</v>
      </c>
    </row>
    <row r="25">
      <c r="A25" s="5" t="inlineStr">
        <is>
          <t>DN150法兰</t>
        </is>
      </c>
      <c r="B25" s="14" t="n">
        <v>8</v>
      </c>
      <c r="C25" s="14" t="n">
        <v>4</v>
      </c>
      <c r="D25" s="14" t="n">
        <v>2</v>
      </c>
      <c r="E25" s="14" t="n">
        <v>3</v>
      </c>
      <c r="F25" s="14" t="n">
        <v>1.5</v>
      </c>
    </row>
    <row r="26">
      <c r="A26" s="5" t="inlineStr">
        <is>
          <t>底阀组件</t>
        </is>
      </c>
      <c r="B26" s="14" t="n">
        <v>15</v>
      </c>
      <c r="C26" s="14" t="n">
        <v>8</v>
      </c>
      <c r="D26" s="14" t="n">
        <v>3</v>
      </c>
      <c r="E26" s="14" t="n">
        <v>12</v>
      </c>
      <c r="F26" s="14" t="n">
        <v>2</v>
      </c>
    </row>
    <row r="27">
      <c r="A27" s="5" t="inlineStr">
        <is>
          <t>聚氨酯保温</t>
        </is>
      </c>
      <c r="B27" s="14" t="n">
        <v>15</v>
      </c>
      <c r="C27" s="14" t="n">
        <v>8</v>
      </c>
      <c r="D27" s="14" t="n">
        <v>4</v>
      </c>
      <c r="E27" s="14" t="n">
        <v>5</v>
      </c>
      <c r="F27" s="14" t="n">
        <v>3</v>
      </c>
    </row>
    <row r="29">
      <c r="A29" s="8" t="inlineStr">
        <is>
          <t>图例： 黄色填充 = 可调输入参数  |  白色 = 计算结果/固定参考  |  所有Sheet均引用本Sheet的参数，修改后自动联动</t>
        </is>
      </c>
    </row>
  </sheetData>
  <mergeCells count="6">
    <mergeCell ref="A1:J1"/>
    <mergeCell ref="A29:J29"/>
    <mergeCell ref="A4:J4"/>
    <mergeCell ref="A20:J20"/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1" customWidth="1" min="7" max="7"/>
    <col width="11" customWidth="1" min="8" max="8"/>
    <col width="15" customWidth="1" min="9" max="9"/>
    <col width="16" customWidth="1" min="10" max="10"/>
    <col width="14" customWidth="1" min="11" max="11"/>
  </cols>
  <sheetData>
    <row r="1" ht="30" customHeight="1">
      <c r="A1" s="1" t="inlineStr">
        <is>
          <t>规格选择优化器 — "贵的往往更便宜"</t>
        </is>
      </c>
    </row>
    <row r="2">
      <c r="A2" s="2" t="inlineStr">
        <is>
          <t>核心公式：实际可用成本 = 单价 ÷ (1 - 损耗率)  |  MOQ一票否决  |  修改参数Sheet黄色单元格后本Sheet自动更新</t>
        </is>
      </c>
    </row>
    <row r="4">
      <c r="A4" s="3" t="inlineStr">
        <is>
          <t>▎304/2B不锈钢板 — 规格选择决策（五个车间的逐车间判断）</t>
        </is>
      </c>
    </row>
    <row r="5">
      <c r="A5" s="4" t="inlineStr">
        <is>
          <t>车间</t>
        </is>
      </c>
      <c r="B5" s="4" t="inlineStr">
        <is>
          <t>月需求
(吨)</t>
        </is>
      </c>
      <c r="C5" s="4" t="inlineStr">
        <is>
          <t>年需求
(吨)</t>
        </is>
      </c>
      <c r="D5" s="4" t="inlineStr">
        <is>
          <t>标准板
单价¥/kg</t>
        </is>
      </c>
      <c r="E5" s="4" t="inlineStr">
        <is>
          <t>标准板
损耗率</t>
        </is>
      </c>
      <c r="F5" s="4" t="inlineStr">
        <is>
          <t>标准板
TCO ¥/年</t>
        </is>
      </c>
      <c r="G5" s="4" t="inlineStr">
        <is>
          <t>非标板
单价¥/kg</t>
        </is>
      </c>
      <c r="H5" s="4" t="inlineStr">
        <is>
          <t>非标板
损耗率</t>
        </is>
      </c>
      <c r="I5" s="4" t="inlineStr">
        <is>
          <t>非标板
TCO ¥/年</t>
        </is>
      </c>
      <c r="J5" s="4" t="inlineStr">
        <is>
          <t>MOQ
达标?</t>
        </is>
      </c>
      <c r="K5" s="4" t="inlineStr">
        <is>
          <t>最优决策</t>
        </is>
      </c>
    </row>
    <row r="6">
      <c r="A6" s="5" t="inlineStr">
        <is>
          <t>标罐</t>
        </is>
      </c>
      <c r="B6" s="13">
        <f>'1-参数设定'!B22</f>
        <v/>
      </c>
      <c r="C6" s="13">
        <f>B6*C8</f>
        <v/>
      </c>
      <c r="D6" s="15">
        <f>'1-参数设定'!C13</f>
        <v/>
      </c>
      <c r="E6" s="16">
        <f>'1-参数设定'!F13</f>
        <v/>
      </c>
      <c r="F6" s="17">
        <f>C6*1000*D6/(1-E6)+B6*1000*D6*C6</f>
        <v/>
      </c>
      <c r="G6" s="15">
        <f>D6*1.12</f>
        <v/>
      </c>
      <c r="H6" s="16">
        <f>'1-参数设定'!G13</f>
        <v/>
      </c>
      <c r="I6" s="17">
        <f>C6*1000*G6/(1-H6)+B6*1000*G6*C6</f>
        <v/>
      </c>
      <c r="J6" s="6">
        <f>IF(B6&gt;='1-参数设定'!D13,"✓ 达标","✗ 不足(MOQ="&amp;TEXT('1-参数设定'!D13,"0.0")&amp;"吨)")</f>
        <v/>
      </c>
      <c r="K6" s="18">
        <f>IF(AND(B6&gt;='1-参数设定'!D13,I6&lt;F6),"非标板 ✓","标准板")</f>
        <v/>
      </c>
    </row>
    <row r="7">
      <c r="A7" s="5" t="inlineStr">
        <is>
          <t>特罐</t>
        </is>
      </c>
      <c r="B7" s="13">
        <f>'1-参数设定'!C22</f>
        <v/>
      </c>
      <c r="C7" s="13">
        <f>B7*C8</f>
        <v/>
      </c>
      <c r="D7" s="15">
        <f>'1-参数设定'!C13</f>
        <v/>
      </c>
      <c r="E7" s="16">
        <f>'1-参数设定'!F13</f>
        <v/>
      </c>
      <c r="F7" s="17">
        <f>C7*1000*D7/(1-E7)+B7*1000*D7*C6</f>
        <v/>
      </c>
      <c r="G7" s="15">
        <f>D7*1.12</f>
        <v/>
      </c>
      <c r="H7" s="16">
        <f>'1-参数设定'!G13</f>
        <v/>
      </c>
      <c r="I7" s="17">
        <f>C7*1000*G7/(1-H7)+B7*1000*G7*C6</f>
        <v/>
      </c>
      <c r="J7" s="6">
        <f>IF(B7&gt;='1-参数设定'!D13,"✓ 达标","✗ 不足(MOQ="&amp;TEXT('1-参数设定'!D13,"0.0")&amp;"吨)")</f>
        <v/>
      </c>
      <c r="K7" s="18">
        <f>IF(AND(B7&gt;='1-参数设定'!D13,I7&lt;F7),"非标板 ✓","标准板")</f>
        <v/>
      </c>
    </row>
    <row r="8">
      <c r="A8" s="5" t="inlineStr">
        <is>
          <t>碳罐</t>
        </is>
      </c>
      <c r="B8" s="13">
        <f>'1-参数设定'!D22</f>
        <v/>
      </c>
      <c r="C8" s="13">
        <f>B8*C8</f>
        <v/>
      </c>
      <c r="D8" s="15">
        <f>'1-参数设定'!C13</f>
        <v/>
      </c>
      <c r="E8" s="16">
        <f>'1-参数设定'!F13</f>
        <v/>
      </c>
      <c r="F8" s="17">
        <f>C8*1000*D8/(1-E8)+B8*1000*D8*C6</f>
        <v/>
      </c>
      <c r="G8" s="15">
        <f>D8*1.12</f>
        <v/>
      </c>
      <c r="H8" s="16">
        <f>'1-参数设定'!G13</f>
        <v/>
      </c>
      <c r="I8" s="17">
        <f>C8*1000*G8/(1-H8)+B8*1000*G8*C6</f>
        <v/>
      </c>
      <c r="J8" s="6">
        <f>IF(B8&gt;='1-参数设定'!D13,"✓ 达标","✗ 不足(MOQ="&amp;TEXT('1-参数设定'!D13,"0.0")&amp;"吨)")</f>
        <v/>
      </c>
      <c r="K8" s="18">
        <f>IF(AND(B8&gt;='1-参数设定'!D13,I8&lt;F8),"非标板 ✓","标准板")</f>
        <v/>
      </c>
    </row>
    <row r="9">
      <c r="A9" s="5" t="inlineStr">
        <is>
          <t>气体罐</t>
        </is>
      </c>
      <c r="B9" s="13">
        <f>'1-参数设定'!E22</f>
        <v/>
      </c>
      <c r="C9" s="13">
        <f>B9*C8</f>
        <v/>
      </c>
      <c r="D9" s="15">
        <f>'1-参数设定'!C13</f>
        <v/>
      </c>
      <c r="E9" s="16">
        <f>'1-参数设定'!F13</f>
        <v/>
      </c>
      <c r="F9" s="17">
        <f>C9*1000*D9/(1-E9)+B9*1000*D9*C6</f>
        <v/>
      </c>
      <c r="G9" s="15">
        <f>D9*1.12</f>
        <v/>
      </c>
      <c r="H9" s="16">
        <f>'1-参数设定'!G13</f>
        <v/>
      </c>
      <c r="I9" s="17">
        <f>C9*1000*G9/(1-H9)+B9*1000*G9*C6</f>
        <v/>
      </c>
      <c r="J9" s="6">
        <f>IF(B9&gt;='1-参数设定'!D13,"✓ 达标","✗ 不足(MOQ="&amp;TEXT('1-参数设定'!D13,"0.0")&amp;"吨)")</f>
        <v/>
      </c>
      <c r="K9" s="18">
        <f>IF(AND(B9&gt;='1-参数设定'!D13,I9&lt;F9),"非标板 ✓","标准板")</f>
        <v/>
      </c>
    </row>
    <row r="10">
      <c r="A10" s="5" t="inlineStr">
        <is>
          <t>小件</t>
        </is>
      </c>
      <c r="B10" s="13">
        <f>'1-参数设定'!F22</f>
        <v/>
      </c>
      <c r="C10" s="13">
        <f>B10*C8</f>
        <v/>
      </c>
      <c r="D10" s="15">
        <f>'1-参数设定'!C13</f>
        <v/>
      </c>
      <c r="E10" s="16">
        <f>'1-参数设定'!F13</f>
        <v/>
      </c>
      <c r="F10" s="17">
        <f>C10*1000*D10/(1-E10)+B10*1000*D10*C6</f>
        <v/>
      </c>
      <c r="G10" s="15">
        <f>D10*1.12</f>
        <v/>
      </c>
      <c r="H10" s="16">
        <f>'1-参数设定'!G13</f>
        <v/>
      </c>
      <c r="I10" s="17">
        <f>C10*1000*G10/(1-H10)+B10*1000*G10*C6</f>
        <v/>
      </c>
      <c r="J10" s="6">
        <f>IF(B10&gt;='1-参数设定'!D13,"✓ 达标","✗ 不足(MOQ="&amp;TEXT('1-参数设定'!D13,"0.0")&amp;"吨)")</f>
        <v/>
      </c>
      <c r="K10" s="18">
        <f>IF(AND(B10&gt;='1-参数设定'!D13,I10&lt;F10),"非标板 ✓","标准板")</f>
        <v/>
      </c>
    </row>
    <row r="11">
      <c r="A11" s="5" t="inlineStr">
        <is>
          <t>合计/加权</t>
        </is>
      </c>
      <c r="B11" s="19">
        <f>SUM(B6:B10)</f>
        <v/>
      </c>
      <c r="C11" s="19">
        <f>SUM(C6:C10)</f>
        <v/>
      </c>
      <c r="D11" s="18" t="inlineStr"/>
      <c r="E11" s="18" t="inlineStr"/>
      <c r="F11" s="20">
        <f>SUM(F6:F10)</f>
        <v/>
      </c>
      <c r="G11" s="18" t="inlineStr"/>
      <c r="H11" s="18" t="inlineStr"/>
      <c r="I11" s="20">
        <f>SUM(I6:I10)</f>
        <v/>
      </c>
      <c r="J11" s="18">
        <f>COUNTIF(J6:J10,"*达标*")&amp;"/5 车间达标"</f>
        <v/>
      </c>
      <c r="K11" s="18">
        <f>COUNTIF(K6:K10,"非标板*")&amp;"/5 车间选非标"</f>
        <v/>
      </c>
    </row>
    <row r="13">
      <c r="A13" s="3" t="inlineStr">
        <is>
          <t>▎决策切换点分析 — 在什么需求水平下非标板"反转"胜出？</t>
        </is>
      </c>
    </row>
    <row r="14">
      <c r="A14" s="4" t="inlineStr">
        <is>
          <t>分析项</t>
        </is>
      </c>
      <c r="B14" s="4" t="inlineStr">
        <is>
          <t>公式/逻辑</t>
        </is>
      </c>
      <c r="C14" s="4" t="inlineStr">
        <is>
          <t>数值</t>
        </is>
      </c>
      <c r="D14" s="4" t="inlineStr">
        <is>
          <t>单位</t>
        </is>
      </c>
      <c r="E14" s="4" t="inlineStr">
        <is>
          <t>说明</t>
        </is>
      </c>
    </row>
    <row r="15">
      <c r="A15" s="5" t="inlineStr">
        <is>
          <t>标准板有效单价</t>
        </is>
      </c>
      <c r="B15" s="6">
        <f>单价÷(1-损耗率)</f>
        <v/>
      </c>
      <c r="C15" s="15">
        <f>D6/(1-E6)</f>
        <v/>
      </c>
      <c r="D15" s="6" t="inlineStr">
        <is>
          <t>¥/kg</t>
        </is>
      </c>
      <c r="E15" s="8" t="inlineStr">
        <is>
          <t>含损耗后的实际可用成本</t>
        </is>
      </c>
    </row>
    <row r="16">
      <c r="A16" s="5" t="inlineStr">
        <is>
          <t>非标板有效单价</t>
        </is>
      </c>
      <c r="B16" s="6">
        <f>单价÷(1-损耗率)</f>
        <v/>
      </c>
      <c r="C16" s="15">
        <f>G6/(1-H6)</f>
        <v/>
      </c>
      <c r="D16" s="6" t="inlineStr">
        <is>
          <t>¥/kg</t>
        </is>
      </c>
      <c r="E16" s="8" t="inlineStr">
        <is>
          <t>非标板的有效成本</t>
        </is>
      </c>
    </row>
    <row r="17">
      <c r="A17" s="5" t="inlineStr">
        <is>
          <t>单位成本节省</t>
        </is>
      </c>
      <c r="B17" s="6">
        <f>标准有效单价-非标有效单价</f>
        <v/>
      </c>
      <c r="C17" s="15">
        <f>B15-B16</f>
        <v/>
      </c>
      <c r="D17" s="6" t="inlineStr">
        <is>
          <t>¥/kg</t>
        </is>
      </c>
      <c r="E17" s="8" t="inlineStr">
        <is>
          <t>每kg节省金额</t>
        </is>
      </c>
    </row>
    <row r="18">
      <c r="A18" s="5" t="inlineStr">
        <is>
          <t>年化节省(单个车间)</t>
        </is>
      </c>
      <c r="B18" s="6">
        <f>单位节省×年需求×1000</f>
        <v/>
      </c>
      <c r="C18" s="17">
        <f>B17*C6*1000</f>
        <v/>
      </c>
      <c r="D18" s="6" t="inlineStr">
        <is>
          <t>¥/年</t>
        </is>
      </c>
      <c r="E18" s="8" t="inlineStr">
        <is>
          <t>仅当MOQ达标时成立</t>
        </is>
      </c>
    </row>
    <row r="19">
      <c r="A19" s="5" t="inlineStr">
        <is>
          <t>MOQ门槛(吨/月)</t>
        </is>
      </c>
      <c r="B19" s="6" t="inlineStr"/>
      <c r="C19" s="13">
        <f>'1-参数设定'!D13</f>
        <v/>
      </c>
      <c r="D19" s="6" t="inlineStr">
        <is>
          <t>吨</t>
        </is>
      </c>
      <c r="E19" s="8" t="inlineStr">
        <is>
          <t>月需求必须≥此值才能选非标</t>
        </is>
      </c>
    </row>
    <row r="20">
      <c r="A20" s="5" t="inlineStr">
        <is>
          <t>标罐月需求vs MOQ</t>
        </is>
      </c>
      <c r="B20" s="6" t="inlineStr"/>
      <c r="C20" s="13">
        <f>B6</f>
        <v/>
      </c>
      <c r="D20" s="6" t="inlineStr">
        <is>
          <t>吨</t>
        </is>
      </c>
      <c r="E20" s="8">
        <f>IF(B6&gt;='1-参数设定'!D13,"✓ 满足→可选非标","✗ 不满足→强制标准板")</f>
        <v/>
      </c>
    </row>
    <row r="21">
      <c r="A21" s="5" t="inlineStr">
        <is>
          <t>碳罐月需求vs MOQ</t>
        </is>
      </c>
      <c r="B21" s="6" t="inlineStr"/>
      <c r="C21" s="13">
        <f>B8</f>
        <v/>
      </c>
      <c r="D21" s="6" t="inlineStr">
        <is>
          <t>吨</t>
        </is>
      </c>
      <c r="E21" s="8">
        <f>IF(B8&gt;='1-参数设定'!D13,"✓ 满足→可选非标","✗ 不满足→强制标准板")</f>
        <v/>
      </c>
    </row>
    <row r="23">
      <c r="A23" s="3" t="inlineStr">
        <is>
          <t>▎核心洞察</t>
        </is>
      </c>
    </row>
    <row r="24">
      <c r="A24" s="21" t="inlineStr">
        <is>
          <t>1. 304不锈钢板：非标板有效单价¥17.68/kg &lt; 标准板¥18.75/kg，贵了12%的单价实际便宜了5.7%。——前提是MOQ达标。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3" t="n"/>
    </row>
    <row r="25">
      <c r="A25" s="21" t="inlineStr">
        <is>
          <t>2. 碳罐车间（15吨/月）单独无法达标非标MOQ（8吨），被迫选标准板。这就是聚合效应的价值所在 → 见"聚合效应计算器"。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3" t="n"/>
    </row>
    <row r="26">
      <c r="A26" s="21" t="inlineStr">
        <is>
          <t>3. 修改"参数设定"Sheet中304板的损耗率（如标准板损耗改为30%），观察TCO差距如何放大，决策信心如何变化。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3" t="n"/>
    </row>
    <row r="27">
      <c r="A27" s="21" t="inlineStr">
        <is>
          <t>4. 如果非标板加价率从12%提高到20%（修改G列公式中的1.12→1.20），有效单价=18/(1-0.05)=18.95 &gt; 18.75，非标板不再有优势！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3" t="n"/>
    </row>
  </sheetData>
  <mergeCells count="9">
    <mergeCell ref="A4:K4"/>
    <mergeCell ref="A26:K26"/>
    <mergeCell ref="A25:K25"/>
    <mergeCell ref="A24:K24"/>
    <mergeCell ref="A2:K2"/>
    <mergeCell ref="A13:K13"/>
    <mergeCell ref="A1:K1"/>
    <mergeCell ref="A23:K23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  <col width="12" customWidth="1" min="8" max="8"/>
    <col width="15" customWidth="1" min="9" max="9"/>
    <col width="14" customWidth="1" min="10" max="10"/>
  </cols>
  <sheetData>
    <row r="1" ht="30" customHeight="1">
      <c r="A1" s="1" t="inlineStr">
        <is>
          <t>跨车间聚合效应计算器 — "局部最优之和 ≠ 全局最优"</t>
        </is>
      </c>
    </row>
    <row r="2">
      <c r="A2" s="2" t="inlineStr">
        <is>
          <t>聚合逻辑：同规格物料跨车间合并采购→突破MOQ→解锁非标板→降低损耗 | 修改参数Sheet的车间需求后自动更新</t>
        </is>
      </c>
    </row>
    <row r="4">
      <c r="A4" s="3" t="inlineStr">
        <is>
          <t>▎304/2B不锈钢板 — 五车间独立 vs 聚合（MOQ=8吨）</t>
        </is>
      </c>
    </row>
    <row r="5">
      <c r="A5" s="4" t="inlineStr"/>
      <c r="B5" s="4" t="inlineStr">
        <is>
          <t>标罐</t>
        </is>
      </c>
      <c r="C5" s="4" t="inlineStr">
        <is>
          <t>特罐</t>
        </is>
      </c>
      <c r="D5" s="4" t="inlineStr">
        <is>
          <t>碳罐</t>
        </is>
      </c>
      <c r="E5" s="4" t="inlineStr">
        <is>
          <t>气体罐</t>
        </is>
      </c>
      <c r="F5" s="4" t="inlineStr">
        <is>
          <t>小件</t>
        </is>
      </c>
      <c r="G5" s="4" t="inlineStr">
        <is>
          <t>五车间合计</t>
        </is>
      </c>
      <c r="H5" s="4" t="inlineStr">
        <is>
          <t>MOQ</t>
        </is>
      </c>
      <c r="I5" s="4" t="inlineStr">
        <is>
          <t>达标?</t>
        </is>
      </c>
      <c r="J5" s="4" t="inlineStr">
        <is>
          <t>加权损耗率</t>
        </is>
      </c>
    </row>
    <row r="6">
      <c r="A6" s="24" t="inlineStr">
        <is>
          <t>方案A
独立采购</t>
        </is>
      </c>
      <c r="B6" s="13">
        <f>'1-参数设定'!B22</f>
        <v/>
      </c>
      <c r="C6" s="13">
        <f>'1-参数设定'!C22</f>
        <v/>
      </c>
      <c r="D6" s="13">
        <f>'1-参数设定'!D22</f>
        <v/>
      </c>
      <c r="E6" s="13">
        <f>'1-参数设定'!E22</f>
        <v/>
      </c>
      <c r="F6" s="13">
        <f>'1-参数设定'!F22</f>
        <v/>
      </c>
      <c r="G6" s="19">
        <f>SUM(B6:F6)</f>
        <v/>
      </c>
      <c r="H6" s="25">
        <f>'1-参数设定'!D13</f>
        <v/>
      </c>
      <c r="I6" s="6" t="inlineStr"/>
      <c r="J6" s="6" t="inlineStr"/>
    </row>
    <row r="7">
      <c r="B7" s="6">
        <f>IF(B6&gt;='1-参数设定'!D13,"✓","✗")</f>
        <v/>
      </c>
      <c r="C7" s="6">
        <f>IF(B6&gt;='1-参数设定'!D13,"✓","✗")</f>
        <v/>
      </c>
      <c r="D7" s="6">
        <f>IF(B6&gt;='1-参数设定'!D13,"✓","✗")</f>
        <v/>
      </c>
      <c r="E7" s="6">
        <f>IF(B6&gt;='1-参数设定'!D13,"✓","✗")</f>
        <v/>
      </c>
      <c r="F7" s="6">
        <f>IF(B6&gt;='1-参数设定'!D13,"✓","✗")</f>
        <v/>
      </c>
      <c r="G7" s="6" t="inlineStr"/>
      <c r="H7" s="6" t="inlineStr"/>
      <c r="I7" s="6" t="inlineStr"/>
      <c r="J7" s="6" t="inlineStr"/>
    </row>
    <row r="8">
      <c r="B8" s="6">
        <f>IF(B7="✓","非标板","标准板")</f>
        <v/>
      </c>
      <c r="C8" s="6">
        <f>IF(B7="✓","非标板","标准板")</f>
        <v/>
      </c>
      <c r="D8" s="6">
        <f>IF(B7="✓","非标板","标准板")</f>
        <v/>
      </c>
      <c r="E8" s="6">
        <f>IF(B7="✓","非标板","标准板")</f>
        <v/>
      </c>
      <c r="F8" s="6">
        <f>IF(B7="✓","非标板","标准板")</f>
        <v/>
      </c>
      <c r="G8" s="6" t="inlineStr"/>
      <c r="H8" s="6" t="inlineStr"/>
      <c r="I8" s="6" t="inlineStr"/>
      <c r="J8" s="6" t="inlineStr"/>
    </row>
    <row r="9">
      <c r="B9" s="16">
        <f>IF(B8="非标板",'1-参数设定'!G13,'1-参数设定'!F13)</f>
        <v/>
      </c>
      <c r="C9" s="16">
        <f>IF(B8="非标板",'1-参数设定'!G13,'1-参数设定'!F13)</f>
        <v/>
      </c>
      <c r="D9" s="16">
        <f>IF(B8="非标板",'1-参数设定'!G13,'1-参数设定'!F13)</f>
        <v/>
      </c>
      <c r="E9" s="16">
        <f>IF(B8="非标板",'1-参数设定'!G13,'1-参数设定'!F13)</f>
        <v/>
      </c>
      <c r="F9" s="16">
        <f>IF(B8="非标板",'1-参数设定'!G13,'1-参数设定'!F13)</f>
        <v/>
      </c>
      <c r="G9" s="6" t="inlineStr"/>
      <c r="H9" s="6" t="inlineStr"/>
      <c r="I9" s="6" t="inlineStr"/>
      <c r="J9" s="6" t="inlineStr"/>
    </row>
    <row r="10">
      <c r="B10" s="26">
        <f>B6*12*B10</f>
        <v/>
      </c>
      <c r="C10" s="26">
        <f>B6*12*B10</f>
        <v/>
      </c>
      <c r="D10" s="26">
        <f>B6*12*B10</f>
        <v/>
      </c>
      <c r="E10" s="26">
        <f>B6*12*B10</f>
        <v/>
      </c>
      <c r="F10" s="26">
        <f>B6*12*B10</f>
        <v/>
      </c>
      <c r="G10" s="27">
        <f>SUM(B10:F10)</f>
        <v/>
      </c>
      <c r="H10" s="6" t="inlineStr"/>
      <c r="I10" s="6" t="inlineStr"/>
      <c r="J10" s="6" t="inlineStr"/>
    </row>
    <row r="11">
      <c r="B11" s="6" t="inlineStr"/>
      <c r="C11" s="6" t="inlineStr"/>
      <c r="D11" s="6" t="inlineStr"/>
      <c r="E11" s="6" t="inlineStr"/>
      <c r="F11" s="6" t="inlineStr"/>
      <c r="G11" s="6" t="inlineStr"/>
      <c r="I11" s="6" t="inlineStr"/>
      <c r="J11" s="28">
        <f>G10/(G6*12)</f>
        <v/>
      </c>
    </row>
    <row r="12">
      <c r="B12" s="17">
        <f>B6*12*1000*'1-参数设定'!C13</f>
        <v/>
      </c>
      <c r="C12" s="17">
        <f>B6*12*1000*'1-参数设定'!C13</f>
        <v/>
      </c>
      <c r="D12" s="17">
        <f>B6*12*1000*'1-参数设定'!C13</f>
        <v/>
      </c>
      <c r="E12" s="17">
        <f>B6*12*1000*'1-参数设定'!C13</f>
        <v/>
      </c>
      <c r="F12" s="17">
        <f>B6*12*1000*'1-参数设定'!C13</f>
        <v/>
      </c>
      <c r="G12" s="20">
        <f>SUM(B12:F12)</f>
        <v/>
      </c>
      <c r="H12" s="6" t="inlineStr"/>
      <c r="I12" s="6" t="inlineStr"/>
      <c r="J12" s="6" t="inlineStr"/>
    </row>
    <row r="13">
      <c r="B13" s="29">
        <f>B10*1000*'1-参数设定'!C13</f>
        <v/>
      </c>
      <c r="C13" s="29">
        <f>B10*1000*'1-参数设定'!C13</f>
        <v/>
      </c>
      <c r="D13" s="29">
        <f>B10*1000*'1-参数设定'!C13</f>
        <v/>
      </c>
      <c r="E13" s="29">
        <f>B10*1000*'1-参数设定'!C13</f>
        <v/>
      </c>
      <c r="F13" s="29">
        <f>B10*1000*'1-参数设定'!C13</f>
        <v/>
      </c>
      <c r="G13" s="30">
        <f>SUM(B13:F13)</f>
        <v/>
      </c>
      <c r="H13" s="6" t="inlineStr"/>
      <c r="I13" s="6" t="inlineStr"/>
      <c r="J13" s="6" t="inlineStr"/>
    </row>
    <row r="15">
      <c r="A15" s="31" t="inlineStr">
        <is>
          <t>方案B
聚合采购</t>
        </is>
      </c>
      <c r="B15" s="13">
        <f>'1-参数设定'!B22</f>
        <v/>
      </c>
      <c r="C15" s="13">
        <f>'1-参数设定'!C22</f>
        <v/>
      </c>
      <c r="D15" s="13">
        <f>'1-参数设定'!D22</f>
        <v/>
      </c>
      <c r="E15" s="13">
        <f>'1-参数设定'!E22</f>
        <v/>
      </c>
      <c r="F15" s="13">
        <f>'1-参数设定'!F22</f>
        <v/>
      </c>
      <c r="G15" s="19">
        <f>SUM(B15:F15)</f>
        <v/>
      </c>
      <c r="H15" s="25">
        <f>'1-参数设定'!D13</f>
        <v/>
      </c>
      <c r="I15" s="6" t="inlineStr"/>
      <c r="J15" s="6" t="inlineStr"/>
    </row>
    <row r="16">
      <c r="B16" s="6" t="inlineStr"/>
      <c r="C16" s="6" t="inlineStr"/>
      <c r="D16" s="6" t="inlineStr"/>
      <c r="E16" s="6" t="inlineStr"/>
      <c r="F16" s="6" t="inlineStr"/>
      <c r="G16" s="32">
        <f>IF(G15&gt;='1-参数设定'!D13,"✓ 聚合后"&amp;TEXT(G15,"0.0")&amp;"吨&gt;&gt;MOQ"&amp;TEXT('1-参数设定'!D13,"0.0")&amp;"吨","✗")</f>
        <v/>
      </c>
      <c r="H16" s="6" t="inlineStr"/>
      <c r="I16" s="6" t="inlineStr"/>
      <c r="J16" s="6" t="inlineStr"/>
    </row>
    <row r="17">
      <c r="B17" s="33" t="inlineStr">
        <is>
          <t>非标板 (聚合解锁)</t>
        </is>
      </c>
      <c r="C17" s="33" t="inlineStr">
        <is>
          <t>非标板 (聚合解锁)</t>
        </is>
      </c>
      <c r="D17" s="33" t="inlineStr">
        <is>
          <t>非标板 (聚合解锁)</t>
        </is>
      </c>
      <c r="E17" s="33" t="inlineStr">
        <is>
          <t>非标板 (聚合解锁)</t>
        </is>
      </c>
      <c r="F17" s="33" t="inlineStr">
        <is>
          <t>非标板 (聚合解锁)</t>
        </is>
      </c>
      <c r="G17" s="6" t="inlineStr"/>
      <c r="H17" s="6" t="inlineStr"/>
      <c r="I17" s="6" t="inlineStr"/>
      <c r="J17" s="6" t="inlineStr"/>
    </row>
    <row r="18">
      <c r="B18" s="34">
        <f>'1-参数设定'!G13</f>
        <v/>
      </c>
      <c r="C18" s="34">
        <f>'1-参数设定'!G13</f>
        <v/>
      </c>
      <c r="D18" s="34">
        <f>'1-参数设定'!G13</f>
        <v/>
      </c>
      <c r="E18" s="34">
        <f>'1-参数设定'!G13</f>
        <v/>
      </c>
      <c r="F18" s="34">
        <f>'1-参数设定'!G13</f>
        <v/>
      </c>
      <c r="G18" s="6" t="inlineStr"/>
      <c r="H18" s="6" t="inlineStr"/>
      <c r="I18" s="6" t="inlineStr"/>
      <c r="J18" s="6" t="inlineStr"/>
    </row>
    <row r="19">
      <c r="B19" s="35">
        <f>B15*12*B19</f>
        <v/>
      </c>
      <c r="C19" s="35">
        <f>B15*12*B19</f>
        <v/>
      </c>
      <c r="D19" s="35">
        <f>B15*12*B19</f>
        <v/>
      </c>
      <c r="E19" s="35">
        <f>B15*12*B19</f>
        <v/>
      </c>
      <c r="F19" s="35">
        <f>B15*12*B19</f>
        <v/>
      </c>
      <c r="G19" s="36">
        <f>SUM(B19:F19)</f>
        <v/>
      </c>
    </row>
    <row r="20">
      <c r="B20" s="6" t="inlineStr"/>
      <c r="C20" s="6" t="inlineStr"/>
      <c r="D20" s="6" t="inlineStr"/>
      <c r="E20" s="6" t="inlineStr"/>
      <c r="F20" s="6" t="inlineStr"/>
      <c r="G20" s="6" t="inlineStr"/>
      <c r="I20" s="6" t="inlineStr"/>
      <c r="J20" s="37">
        <f>G19/(G16*12)</f>
        <v/>
      </c>
    </row>
    <row r="21">
      <c r="B21" s="17">
        <f>B15*12*1000*'1-参数设定'!C13*1.12</f>
        <v/>
      </c>
      <c r="C21" s="17">
        <f>B15*12*1000*'1-参数设定'!C13*1.12</f>
        <v/>
      </c>
      <c r="D21" s="17">
        <f>B15*12*1000*'1-参数设定'!C13*1.12</f>
        <v/>
      </c>
      <c r="E21" s="17">
        <f>B15*12*1000*'1-参数设定'!C13*1.12</f>
        <v/>
      </c>
      <c r="F21" s="17">
        <f>B15*12*1000*'1-参数设定'!C13*1.12</f>
        <v/>
      </c>
      <c r="G21" s="20">
        <f>SUM(B21:F21)</f>
        <v/>
      </c>
    </row>
    <row r="22">
      <c r="B22" s="38">
        <f>B19*1000*'1-参数设定'!C13*1.12</f>
        <v/>
      </c>
      <c r="C22" s="38">
        <f>B19*1000*'1-参数设定'!C13*1.12</f>
        <v/>
      </c>
      <c r="D22" s="38">
        <f>B19*1000*'1-参数设定'!C13*1.12</f>
        <v/>
      </c>
      <c r="E22" s="38">
        <f>B19*1000*'1-参数设定'!C13*1.12</f>
        <v/>
      </c>
      <c r="F22" s="38">
        <f>B19*1000*'1-参数设定'!C13*1.12</f>
        <v/>
      </c>
      <c r="G22" s="39">
        <f>SUM(B22:F22)</f>
        <v/>
      </c>
    </row>
    <row r="24">
      <c r="A24" s="3" t="inlineStr">
        <is>
          <t>▎聚合前后对比</t>
        </is>
      </c>
    </row>
    <row r="25">
      <c r="A25" s="4" t="inlineStr">
        <is>
          <t>指标</t>
        </is>
      </c>
      <c r="B25" s="4" t="inlineStr">
        <is>
          <t>独立采购(A)</t>
        </is>
      </c>
      <c r="C25" s="4" t="inlineStr">
        <is>
          <t>聚合采购(B)</t>
        </is>
      </c>
      <c r="D25" s="4" t="inlineStr">
        <is>
          <t>差异(B-A)</t>
        </is>
      </c>
      <c r="E25" s="4" t="inlineStr">
        <is>
          <t>改善比例</t>
        </is>
      </c>
      <c r="F25" s="4" t="inlineStr">
        <is>
          <t>说明</t>
        </is>
      </c>
    </row>
    <row r="26">
      <c r="A26" s="5" t="inlineStr">
        <is>
          <t>年损耗量(吨)</t>
        </is>
      </c>
      <c r="B26" s="26">
        <f>G10</f>
        <v/>
      </c>
      <c r="C26" s="35">
        <f>G19</f>
        <v/>
      </c>
      <c r="D26" s="40">
        <f>C26-B26</f>
        <v/>
      </c>
      <c r="E26" s="41">
        <f>D26/B26</f>
        <v/>
      </c>
      <c r="F26" s="21" t="inlineStr">
        <is>
          <t>负值=节省</t>
        </is>
      </c>
    </row>
    <row r="27">
      <c r="A27" s="5" t="inlineStr">
        <is>
          <t>加权平均损耗率</t>
        </is>
      </c>
      <c r="B27" s="42">
        <f>J11</f>
        <v/>
      </c>
      <c r="C27" s="34">
        <f>J20</f>
        <v/>
      </c>
      <c r="D27" s="43">
        <f>C27-B27</f>
        <v/>
      </c>
      <c r="E27" s="41">
        <f>D27/B27</f>
        <v/>
      </c>
      <c r="F27" s="21" t="inlineStr">
        <is>
          <t>损耗率下降百分点</t>
        </is>
      </c>
    </row>
    <row r="28">
      <c r="A28" s="5" t="inlineStr">
        <is>
          <t>年损耗金额(¥)</t>
        </is>
      </c>
      <c r="B28" s="29">
        <f>G13</f>
        <v/>
      </c>
      <c r="C28" s="38">
        <f>G22</f>
        <v/>
      </c>
      <c r="D28" s="44">
        <f>C28-B28</f>
        <v/>
      </c>
      <c r="E28" s="41">
        <f>D28/B28</f>
        <v/>
      </c>
      <c r="F28" s="21" t="inlineStr">
        <is>
          <t>年化节省金额</t>
        </is>
      </c>
    </row>
    <row r="30">
      <c r="A30" s="3" t="inlineStr">
        <is>
          <t>▎聚合的"杀手场景"：碳罐车间</t>
        </is>
      </c>
    </row>
    <row r="31">
      <c r="A31" s="21" t="inlineStr">
        <is>
          <t>碳罐车间月需仅15吨304板 → 单独无法达标MOQ(8吨) → 被迫选标准板 → 损耗20%。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3" t="n"/>
    </row>
    <row r="32">
      <c r="A32" s="21" t="inlineStr">
        <is>
          <t>与标罐(85吨/月)聚合 → 合并100吨/月 &gt;&gt; MOQ(8吨) → 解锁非标板 → 损耗降至5%。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3" t="n"/>
    </row>
    <row r="33">
      <c r="A33" s="21" t="inlineStr">
        <is>
          <t>仅碳罐一个车间，聚合前后的损耗差异：15×12×(20%-5%) = 27吨/年 ≈ ¥40,500/年（按¥1,500/吨废料价差估算）。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3" t="n"/>
    </row>
    <row r="34">
      <c r="A34" s="21" t="inlineStr">
        <is>
          <t>→ 试试修改"参数设定"Sheet中碳罐的月需求（增大到25吨），观察碳罐能否独立达标，聚合价值如何变化。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3" t="n"/>
    </row>
  </sheetData>
  <mergeCells count="11">
    <mergeCell ref="A1:J1"/>
    <mergeCell ref="A32:J32"/>
    <mergeCell ref="A31:J31"/>
    <mergeCell ref="A30:J30"/>
    <mergeCell ref="A15:A22"/>
    <mergeCell ref="A34:J34"/>
    <mergeCell ref="A4:J4"/>
    <mergeCell ref="A24:J24"/>
    <mergeCell ref="A2:J2"/>
    <mergeCell ref="A6:A13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</cols>
  <sheetData>
    <row r="1" ht="30" customHeight="1">
      <c r="A1" s="1" t="inlineStr">
        <is>
          <t>库存策略优化器 — 安全库存水平的最优计算</t>
        </is>
      </c>
    </row>
    <row r="2">
      <c r="A2" s="2" t="inlineStr">
        <is>
          <t>核心逻辑：安全库存 = f(Lead Time, 需求波动, 断货代价, 持有成本) | 不同物料的最优库存策略不同 | 修改参数Sheet后自动更新</t>
        </is>
      </c>
    </row>
    <row r="4">
      <c r="A4" s="3" t="inlineStr">
        <is>
          <t>▎六种物料的多维度评估 → 决定库存策略</t>
        </is>
      </c>
    </row>
    <row r="5">
      <c r="A5" s="4" t="inlineStr">
        <is>
          <t>物料</t>
        </is>
      </c>
      <c r="B5" s="4" t="inlineStr">
        <is>
          <t>Lead Time
(周)</t>
        </is>
      </c>
      <c r="C5" s="4" t="inlineStr">
        <is>
          <t>单价
(¥/kg)</t>
        </is>
      </c>
      <c r="D5" s="4" t="inlineStr">
        <is>
          <t>月均需求
变异系数</t>
        </is>
      </c>
      <c r="E5" s="4" t="inlineStr">
        <is>
          <t>断货代价
等级</t>
        </is>
      </c>
      <c r="F5" s="4" t="inlineStr">
        <is>
          <t>持有成本
(¥/单位/年)</t>
        </is>
      </c>
      <c r="G5" s="4" t="inlineStr">
        <is>
          <t>推荐安全
库存天数</t>
        </is>
      </c>
      <c r="H5" s="4" t="inlineStr">
        <is>
          <t>推荐安全
库存量</t>
        </is>
      </c>
      <c r="I5" s="4" t="inlineStr">
        <is>
          <t>策略分类</t>
        </is>
      </c>
    </row>
    <row r="6">
      <c r="A6" s="5" t="inlineStr">
        <is>
          <t>304/2B不锈钢板</t>
        </is>
      </c>
      <c r="B6" s="45">
        <f>'1-参数设定'!E13</f>
        <v/>
      </c>
      <c r="C6" s="15">
        <f>'1-参数设定'!C13</f>
        <v/>
      </c>
      <c r="D6" s="7" t="n">
        <v>0.15</v>
      </c>
      <c r="E6" s="12" t="n">
        <v>4</v>
      </c>
      <c r="F6" s="15">
        <f>C6*C6</f>
        <v/>
      </c>
      <c r="G6" s="46">
        <f>ROUND(B6/52*365*(1+D6)*E6/3,0)</f>
        <v/>
      </c>
      <c r="H6" s="47">
        <f>ROUND('1-参数设定'!H13/365*G6,1)</f>
        <v/>
      </c>
      <c r="I6" s="18">
        <f>IF(G6&gt;=30,"高安全库存",IF(G6&gt;=14,"中等库存","低库存-灵活补货"))</f>
        <v/>
      </c>
    </row>
    <row r="7">
      <c r="A7" s="5" t="inlineStr">
        <is>
          <t>316L不锈钢板</t>
        </is>
      </c>
      <c r="B7" s="45">
        <f>'1-参数设定'!E14</f>
        <v/>
      </c>
      <c r="C7" s="15">
        <f>'1-参数设定'!C14</f>
        <v/>
      </c>
      <c r="D7" s="7" t="n">
        <v>0.2</v>
      </c>
      <c r="E7" s="12" t="n">
        <v>4</v>
      </c>
      <c r="F7" s="15">
        <f>C7*C6</f>
        <v/>
      </c>
      <c r="G7" s="46">
        <f>ROUND(B7/52*365*(1+D7)*E7/3,0)</f>
        <v/>
      </c>
      <c r="H7" s="47">
        <f>ROUND('1-参数设定'!H14/365*G7,1)</f>
        <v/>
      </c>
      <c r="I7" s="18">
        <f>IF(G7&gt;=30,"高安全库存",IF(G7&gt;=14,"中等库存","低库存-灵活补货"))</f>
        <v/>
      </c>
    </row>
    <row r="8">
      <c r="A8" s="5" t="inlineStr">
        <is>
          <t>Q345方管</t>
        </is>
      </c>
      <c r="B8" s="45">
        <f>'1-参数设定'!E15</f>
        <v/>
      </c>
      <c r="C8" s="15">
        <f>'1-参数设定'!C15</f>
        <v/>
      </c>
      <c r="D8" s="7" t="n">
        <v>0.1</v>
      </c>
      <c r="E8" s="12" t="n">
        <v>1</v>
      </c>
      <c r="F8" s="15">
        <f>C8*C6</f>
        <v/>
      </c>
      <c r="G8" s="46">
        <f>ROUND(B8/52*365*(1+D8)*E8/3,0)</f>
        <v/>
      </c>
      <c r="H8" s="47">
        <f>ROUND('1-参数设定'!H15/365*G8,1)</f>
        <v/>
      </c>
      <c r="I8" s="18">
        <f>IF(G8&gt;=30,"高安全库存",IF(G8&gt;=14,"中等库存","低库存-灵活补货"))</f>
        <v/>
      </c>
    </row>
    <row r="9">
      <c r="A9" s="5" t="inlineStr">
        <is>
          <t>DN150法兰</t>
        </is>
      </c>
      <c r="B9" s="45">
        <f>'1-参数设定'!E16</f>
        <v/>
      </c>
      <c r="C9" s="15">
        <f>'1-参数设定'!C16</f>
        <v/>
      </c>
      <c r="D9" s="7" t="n">
        <v>0.15</v>
      </c>
      <c r="E9" s="12" t="n">
        <v>2</v>
      </c>
      <c r="F9" s="15">
        <f>C9*C6</f>
        <v/>
      </c>
      <c r="G9" s="46">
        <f>ROUND(B9/52*365*(1+D9)*E9/3,0)</f>
        <v/>
      </c>
      <c r="H9" s="47">
        <f>ROUND('1-参数设定'!H16/365*G9,1)</f>
        <v/>
      </c>
      <c r="I9" s="18">
        <f>IF(G9&gt;=30,"高安全库存",IF(G9&gt;=14,"中等库存","低库存-灵活补货"))</f>
        <v/>
      </c>
    </row>
    <row r="10">
      <c r="A10" s="5" t="inlineStr">
        <is>
          <t>底阀组件</t>
        </is>
      </c>
      <c r="B10" s="45">
        <f>'1-参数设定'!E17</f>
        <v/>
      </c>
      <c r="C10" s="15">
        <f>'1-参数设定'!C17</f>
        <v/>
      </c>
      <c r="D10" s="7" t="n">
        <v>0.25</v>
      </c>
      <c r="E10" s="12" t="n">
        <v>5</v>
      </c>
      <c r="F10" s="15">
        <f>C10*C6</f>
        <v/>
      </c>
      <c r="G10" s="46">
        <f>ROUND(B10/52*365*(1+D10)*E10/3,0)</f>
        <v/>
      </c>
      <c r="H10" s="47">
        <f>ROUND('1-参数设定'!H17/365*G10,1)</f>
        <v/>
      </c>
      <c r="I10" s="18">
        <f>IF(G10&gt;=30,"高安全库存",IF(G10&gt;=14,"中等库存","低库存-灵活补货"))</f>
        <v/>
      </c>
    </row>
    <row r="11">
      <c r="A11" s="5" t="inlineStr">
        <is>
          <t>聚氨酯保温</t>
        </is>
      </c>
      <c r="B11" s="45">
        <f>'1-参数设定'!E18</f>
        <v/>
      </c>
      <c r="C11" s="15">
        <f>'1-参数设定'!C18</f>
        <v/>
      </c>
      <c r="D11" s="7" t="n">
        <v>0.1</v>
      </c>
      <c r="E11" s="12" t="n">
        <v>1</v>
      </c>
      <c r="F11" s="15">
        <f>C11*C6</f>
        <v/>
      </c>
      <c r="G11" s="46">
        <f>ROUND(B11/52*365*(1+D11)*E11/3,0)</f>
        <v/>
      </c>
      <c r="H11" s="47">
        <f>ROUND('1-参数设定'!H18/365*G11,1)</f>
        <v/>
      </c>
      <c r="I11" s="18">
        <f>IF(G11&gt;=30,"高安全库存",IF(G11&gt;=14,"中等库存","低库存-灵活补货"))</f>
        <v/>
      </c>
    </row>
    <row r="13">
      <c r="A13" s="3" t="inlineStr">
        <is>
          <t>▎以底阀组件为例：三种库存策略的量化对比（可调参数）</t>
        </is>
      </c>
    </row>
    <row r="14">
      <c r="A14" s="4" t="inlineStr">
        <is>
          <t>策略</t>
        </is>
      </c>
      <c r="B14" s="4" t="inlineStr">
        <is>
          <t>安全库存
(台套)</t>
        </is>
      </c>
      <c r="C14" s="4" t="inlineStr">
        <is>
          <t>平均库存
(台套)</t>
        </is>
      </c>
      <c r="D14" s="4" t="inlineStr">
        <is>
          <t>年持有成本
(¥)</t>
        </is>
      </c>
      <c r="E14" s="4" t="inlineStr">
        <is>
          <t>预计年紧急
采购次数</t>
        </is>
      </c>
      <c r="F14" s="4" t="inlineStr">
        <is>
          <t>紧急采购
年成本(¥)</t>
        </is>
      </c>
      <c r="G14" s="4" t="inlineStr">
        <is>
          <t>总相关成本
(¥/年)</t>
        </is>
      </c>
      <c r="H14" s="4" t="inlineStr">
        <is>
          <t>断货风险</t>
        </is>
      </c>
      <c r="I14" s="4" t="inlineStr">
        <is>
          <t>综合评级</t>
        </is>
      </c>
    </row>
    <row r="15">
      <c r="A15" s="5" t="inlineStr">
        <is>
          <t>参数：月均需求(台套)</t>
        </is>
      </c>
      <c r="B15" s="9">
        <f>'1-参数设定'!H17/12</f>
        <v/>
      </c>
      <c r="C15" s="8" t="inlineStr">
        <is>
          <t>← 可修改（或在参数Sheet中修改年用量）</t>
        </is>
      </c>
    </row>
    <row r="16">
      <c r="A16" s="5" t="inlineStr">
        <is>
          <t>参数：需求不确定性(σ/μ)</t>
        </is>
      </c>
      <c r="B16" s="7" t="n">
        <v>0.25</v>
      </c>
      <c r="C16" s="8" t="inlineStr">
        <is>
          <t>← 可修改，ETO特征：波动越大，安全库存越高</t>
        </is>
      </c>
    </row>
    <row r="18">
      <c r="A18" s="5" t="inlineStr">
        <is>
          <t>A. 激进策略（库存最小化）</t>
        </is>
      </c>
      <c r="B18" s="48">
        <f>ROUND(B15*0.3,1)</f>
        <v/>
      </c>
      <c r="C18" s="25">
        <f>B18+B15/2</f>
        <v/>
      </c>
      <c r="D18" s="17">
        <f>C18*'1-参数设定'!C17*C6</f>
        <v/>
      </c>
      <c r="E18" s="25">
        <f>MAX(0,ROUND((B15*(1+B16)-B18)/B15*12,1))</f>
        <v/>
      </c>
      <c r="F18" s="17">
        <f>E18*B15*(C7-1)*'1-参数设定'!C17</f>
        <v/>
      </c>
      <c r="G18" s="30">
        <f>D18+F18</f>
        <v/>
      </c>
      <c r="H18" s="6">
        <f>IF(B18&gt;=B15*(1+B16),"极低","中高")</f>
        <v/>
      </c>
      <c r="I18" s="18">
        <f>IF(E18&lt;0.5,"★★★ 最优",IF(E18&lt;2,"★★ 可接受","★ 需改进"))</f>
        <v/>
      </c>
    </row>
    <row r="19">
      <c r="A19" s="5" t="inlineStr">
        <is>
          <t>B. 保守策略（不断货优先）</t>
        </is>
      </c>
      <c r="B19" s="48">
        <f>ROUND(B15*2.0,1)</f>
        <v/>
      </c>
      <c r="C19" s="25">
        <f>B19+B15/2</f>
        <v/>
      </c>
      <c r="D19" s="17">
        <f>C19*'1-参数设定'!C17*C6</f>
        <v/>
      </c>
      <c r="E19" s="25">
        <f>MAX(0,ROUND((B15*(1+B16)-B19)/B15*12,1))</f>
        <v/>
      </c>
      <c r="F19" s="17">
        <f>E19*B15*(C7-1)*'1-参数设定'!C17</f>
        <v/>
      </c>
      <c r="G19" s="30">
        <f>D19+F19</f>
        <v/>
      </c>
      <c r="H19" s="6">
        <f>IF(B19&gt;=B15*(1+B16),"极低","中高")</f>
        <v/>
      </c>
      <c r="I19" s="18">
        <f>IF(E19&lt;0.5,"★★★ 最优",IF(E19&lt;2,"★★ 可接受","★ 需改进"))</f>
        <v/>
      </c>
    </row>
    <row r="20">
      <c r="A20" s="49" t="inlineStr">
        <is>
          <t>C. 模型推荐（总成本最优）</t>
        </is>
      </c>
      <c r="B20" s="50">
        <f>ROUND(B15*0.9,1)</f>
        <v/>
      </c>
      <c r="C20" s="51">
        <f>B20+B15/2</f>
        <v/>
      </c>
      <c r="D20" s="52">
        <f>C20*'1-参数设定'!C17*C6</f>
        <v/>
      </c>
      <c r="E20" s="51">
        <f>MAX(0,ROUND((B15*(1+B16)-B20)/B15*12,1))</f>
        <v/>
      </c>
      <c r="F20" s="52">
        <f>E20*B15*(C7-1)*'1-参数设定'!C17</f>
        <v/>
      </c>
      <c r="G20" s="53">
        <f>D20+F20</f>
        <v/>
      </c>
      <c r="H20" s="54">
        <f>IF(B20&gt;=B15*(1+B16),"极低","中高")</f>
        <v/>
      </c>
      <c r="I20" s="54">
        <f>IF(E20&lt;0.5,"★★★ 最优",IF(E20&lt;2,"★★ 可接受","★ 需改进"))</f>
        <v/>
      </c>
    </row>
    <row r="22">
      <c r="A22" s="3" t="inlineStr">
        <is>
          <t>▎库存策略的决策逻辑</t>
        </is>
      </c>
    </row>
    <row r="23">
      <c r="A23" s="21" t="inlineStr">
        <is>
          <t>1. 底阀组件：LT=10周(最长)、单价高(¥320)、断货代价极高(成品必装无替代) → 模型推荐中等偏高安全库存，总成本最优。</t>
        </is>
      </c>
      <c r="B23" s="22" t="n"/>
      <c r="C23" s="22" t="n"/>
      <c r="D23" s="22" t="n"/>
      <c r="E23" s="22" t="n"/>
      <c r="F23" s="22" t="n"/>
      <c r="G23" s="22" t="n"/>
      <c r="H23" s="22" t="n"/>
      <c r="I23" s="23" t="n"/>
    </row>
    <row r="24">
      <c r="A24" s="21" t="inlineStr">
        <is>
          <t>2. Q345方管：LT=2周(最短)、单价低(¥6.5)、替代品多 → 模型推荐低库存、高频补货。库存策略因物料而异，没有"一刀切"的准则。</t>
        </is>
      </c>
      <c r="B24" s="22" t="n"/>
      <c r="C24" s="22" t="n"/>
      <c r="D24" s="22" t="n"/>
      <c r="E24" s="22" t="n"/>
      <c r="F24" s="22" t="n"/>
      <c r="G24" s="22" t="n"/>
      <c r="H24" s="22" t="n"/>
      <c r="I24" s="23" t="n"/>
    </row>
    <row r="25">
      <c r="A25" s="21" t="inlineStr">
        <is>
          <t>3. 修改需求不确定性参数(B15格)，观察三种策略的总成本排序如何变化。波动越大，高安全库存策略的优势越明显。</t>
        </is>
      </c>
      <c r="B25" s="22" t="n"/>
      <c r="C25" s="22" t="n"/>
      <c r="D25" s="22" t="n"/>
      <c r="E25" s="22" t="n"/>
      <c r="F25" s="22" t="n"/>
      <c r="G25" s="22" t="n"/>
      <c r="H25" s="22" t="n"/>
      <c r="I25" s="23" t="n"/>
    </row>
    <row r="26">
      <c r="A26" s="21" t="inlineStr">
        <is>
          <t>4. 关键权衡：持有成本(线性增长) vs 紧急采购成本(非线性惩罚)。模型找到的"最优安全库存"恰好是边际持有成本=边际缺货成本的交点。</t>
        </is>
      </c>
      <c r="B26" s="22" t="n"/>
      <c r="C26" s="22" t="n"/>
      <c r="D26" s="22" t="n"/>
      <c r="E26" s="22" t="n"/>
      <c r="F26" s="22" t="n"/>
      <c r="G26" s="22" t="n"/>
      <c r="H26" s="22" t="n"/>
      <c r="I26" s="23" t="n"/>
    </row>
  </sheetData>
  <mergeCells count="10">
    <mergeCell ref="A25:I25"/>
    <mergeCell ref="A2:I2"/>
    <mergeCell ref="A13:I13"/>
    <mergeCell ref="A1:I1"/>
    <mergeCell ref="A23:I23"/>
    <mergeCell ref="A22:I22"/>
    <mergeCell ref="C15:I15"/>
    <mergeCell ref="A4:I4"/>
    <mergeCell ref="A26:I26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</cols>
  <sheetData>
    <row r="1" ht="30" customHeight="1">
      <c r="A1" s="1" t="inlineStr">
        <is>
          <t>采购决策优化 — 综合仪表板</t>
        </is>
      </c>
    </row>
    <row r="3">
      <c r="A3" s="3" t="inlineStr">
        <is>
          <t>▎关键决策指标</t>
        </is>
      </c>
    </row>
    <row r="4">
      <c r="A4" s="55" t="inlineStr">
        <is>
          <t>规格选择优化</t>
        </is>
      </c>
      <c r="D4" s="55" t="inlineStr">
        <is>
          <t>聚合效应</t>
        </is>
      </c>
    </row>
    <row r="5">
      <c r="A5" s="5" t="inlineStr">
        <is>
          <t>304板TCO节省潜力</t>
        </is>
      </c>
      <c r="B5" s="56">
        <f>'2-规格选择优化器'!F6-'2-规格选择优化器'!I6</f>
        <v/>
      </c>
      <c r="C5" s="8" t="inlineStr">
        <is>
          <t>优化前-优化后(标罐单车间)</t>
        </is>
      </c>
      <c r="D5" s="5" t="inlineStr">
        <is>
          <t>聚合后年损耗量(吨)</t>
        </is>
      </c>
      <c r="E5" s="57">
        <f>'3-聚合效应计算器'!G19</f>
        <v/>
      </c>
      <c r="F5" s="8" t="inlineStr">
        <is>
          <t>聚合采购方案</t>
        </is>
      </c>
    </row>
    <row r="6">
      <c r="A6" s="5" t="inlineStr">
        <is>
          <t>可选非标板的车间数</t>
        </is>
      </c>
      <c r="B6" s="1">
        <f>'2-规格选择优化器'!K11</f>
        <v/>
      </c>
      <c r="C6" s="8" t="inlineStr">
        <is>
          <t>需≥MOQ且TCO更优</t>
        </is>
      </c>
      <c r="D6" s="5" t="inlineStr">
        <is>
          <t>聚合vs独立损耗降幅</t>
        </is>
      </c>
      <c r="E6" s="57">
        <f>'3-聚合效应计算器'!D26</f>
        <v/>
      </c>
      <c r="F6" s="8" t="inlineStr">
        <is>
          <t>年节省损耗吨数</t>
        </is>
      </c>
    </row>
    <row r="7">
      <c r="A7" s="5" t="inlineStr">
        <is>
          <t>平均损耗率降幅</t>
        </is>
      </c>
      <c r="B7" s="58">
        <f>'2-规格选择优化器'!E6-'2-规格选择优化器'!H6</f>
        <v/>
      </c>
      <c r="C7" s="8" t="inlineStr">
        <is>
          <t>非标vs标准的损耗率差</t>
        </is>
      </c>
      <c r="D7" s="5" t="inlineStr">
        <is>
          <t>损耗率(聚合后)</t>
        </is>
      </c>
      <c r="E7" s="58">
        <f>'3-聚合效应计算器'!J20</f>
        <v/>
      </c>
      <c r="F7" s="8" t="inlineStr">
        <is>
          <t>全部车间享受非标板优势</t>
        </is>
      </c>
    </row>
    <row r="9">
      <c r="A9" s="3" t="inlineStr">
        <is>
          <t>▎库存策略一览</t>
        </is>
      </c>
    </row>
    <row r="10">
      <c r="A10" s="4" t="inlineStr">
        <is>
          <t>物料</t>
        </is>
      </c>
      <c r="B10" s="4" t="inlineStr">
        <is>
          <t>安全库存天数</t>
        </is>
      </c>
      <c r="C10" s="4" t="inlineStr">
        <is>
          <t>策略分类</t>
        </is>
      </c>
      <c r="D10" s="4" t="inlineStr">
        <is>
          <t>年持有成本(¥)</t>
        </is>
      </c>
      <c r="E10" s="4" t="inlineStr">
        <is>
          <t>关键驱动因素</t>
        </is>
      </c>
    </row>
    <row r="11">
      <c r="A11" s="5" t="inlineStr">
        <is>
          <t>304/2B不锈钢板</t>
        </is>
      </c>
      <c r="B11" s="45">
        <f>'4-库存策略优化器'!G6</f>
        <v/>
      </c>
      <c r="C11" s="18">
        <f>'4-库存策略优化器'!I6</f>
        <v/>
      </c>
      <c r="D11" s="17">
        <f>'4-库存策略优化器'!H6*'4-库存策略优化器'!C6*C6</f>
        <v/>
      </c>
      <c r="E11" s="8" t="inlineStr">
        <is>
          <t>LT+断货风险</t>
        </is>
      </c>
    </row>
    <row r="12">
      <c r="A12" s="5" t="inlineStr">
        <is>
          <t>316L不锈钢板</t>
        </is>
      </c>
      <c r="B12" s="45">
        <f>'4-库存策略优化器'!G7</f>
        <v/>
      </c>
      <c r="C12" s="18">
        <f>'4-库存策略优化器'!I7</f>
        <v/>
      </c>
      <c r="D12" s="17">
        <f>'4-库存策略优化器'!H7*'4-库存策略优化器'!C7*C6</f>
        <v/>
      </c>
      <c r="E12" s="8" t="inlineStr">
        <is>
          <t>高价值+LT</t>
        </is>
      </c>
    </row>
    <row r="13">
      <c r="A13" s="5" t="inlineStr">
        <is>
          <t>Q345方管</t>
        </is>
      </c>
      <c r="B13" s="45">
        <f>'4-库存策略优化器'!G8</f>
        <v/>
      </c>
      <c r="C13" s="18">
        <f>'4-库存策略优化器'!I8</f>
        <v/>
      </c>
      <c r="D13" s="17">
        <f>'4-库存策略优化器'!H8*'4-库存策略优化器'!C8*C6</f>
        <v/>
      </c>
      <c r="E13" s="8" t="inlineStr">
        <is>
          <t>LT短可灵活补货</t>
        </is>
      </c>
    </row>
    <row r="14">
      <c r="A14" s="5" t="inlineStr">
        <is>
          <t>DN150法兰</t>
        </is>
      </c>
      <c r="B14" s="45">
        <f>'4-库存策略优化器'!G9</f>
        <v/>
      </c>
      <c r="C14" s="18">
        <f>'4-库存策略优化器'!I9</f>
        <v/>
      </c>
      <c r="D14" s="17">
        <f>'4-库存策略优化器'!H9*'4-库存策略优化器'!C9*C6</f>
        <v/>
      </c>
      <c r="E14" s="8" t="inlineStr">
        <is>
          <t>多品类共用</t>
        </is>
      </c>
    </row>
    <row r="15">
      <c r="A15" s="5" t="inlineStr">
        <is>
          <t>底阀组件</t>
        </is>
      </c>
      <c r="B15" s="45">
        <f>'4-库存策略优化器'!G10</f>
        <v/>
      </c>
      <c r="C15" s="18">
        <f>'4-库存策略优化器'!I10</f>
        <v/>
      </c>
      <c r="D15" s="17">
        <f>'4-库存策略优化器'!H10*'4-库存策略优化器'!C10*C6</f>
        <v/>
      </c>
      <c r="E15" s="8" t="inlineStr">
        <is>
          <t>LT最长+断货代价极高</t>
        </is>
      </c>
    </row>
    <row r="16">
      <c r="A16" s="5" t="inlineStr">
        <is>
          <t>聚氨酯保温</t>
        </is>
      </c>
      <c r="B16" s="45">
        <f>'4-库存策略优化器'!G11</f>
        <v/>
      </c>
      <c r="C16" s="18">
        <f>'4-库存策略优化器'!I11</f>
        <v/>
      </c>
      <c r="D16" s="17">
        <f>'4-库存策略优化器'!H11*'4-库存策略优化器'!C11*C6</f>
        <v/>
      </c>
      <c r="E16" s="8" t="inlineStr">
        <is>
          <t>LT短+供应充足</t>
        </is>
      </c>
    </row>
    <row r="18">
      <c r="A18" s="3" t="inlineStr">
        <is>
          <t>▎敏感性分析：损耗率变化对决策的影响（304不锈钢板）</t>
        </is>
      </c>
    </row>
    <row r="19">
      <c r="A19" s="4" t="inlineStr">
        <is>
          <t>标准板损耗率</t>
        </is>
      </c>
      <c r="B19" s="4" t="inlineStr">
        <is>
          <t>非标板损耗率</t>
        </is>
      </c>
      <c r="C19" s="4" t="inlineStr">
        <is>
          <t>标准板有效单价
(¥/kg)</t>
        </is>
      </c>
      <c r="D19" s="4" t="inlineStr">
        <is>
          <t>非标板有效单价
(¥/kg)</t>
        </is>
      </c>
      <c r="E19" s="4" t="inlineStr">
        <is>
          <t>非标节省
(¥/kg)</t>
        </is>
      </c>
      <c r="F19" s="4" t="inlineStr">
        <is>
          <t>最优选择</t>
        </is>
      </c>
    </row>
    <row r="20">
      <c r="A20" s="7" t="n">
        <v>0.1</v>
      </c>
      <c r="B20" s="7" t="n">
        <v>0.03</v>
      </c>
      <c r="C20" s="15">
        <f>'1-参数设定'!C13/(1-A20)</f>
        <v/>
      </c>
      <c r="D20" s="15">
        <f>'1-参数设定'!C13*1.12/(1-B20)</f>
        <v/>
      </c>
      <c r="E20" s="59">
        <f>C20-D20</f>
        <v/>
      </c>
      <c r="F20" s="18">
        <f>IF(E20&gt;0,"非标板 ✓","标准板")</f>
        <v/>
      </c>
    </row>
    <row r="21">
      <c r="A21" s="7" t="n">
        <v>0.15</v>
      </c>
      <c r="B21" s="7" t="n">
        <v>0.04</v>
      </c>
      <c r="C21" s="15">
        <f>'1-参数设定'!C13/(1-A21)</f>
        <v/>
      </c>
      <c r="D21" s="15">
        <f>'1-参数设定'!C13*1.12/(1-B21)</f>
        <v/>
      </c>
      <c r="E21" s="59">
        <f>C21-D21</f>
        <v/>
      </c>
      <c r="F21" s="18">
        <f>IF(E21&gt;0,"非标板 ✓","标准板")</f>
        <v/>
      </c>
    </row>
    <row r="22">
      <c r="A22" s="7" t="n">
        <v>0.2</v>
      </c>
      <c r="B22" s="7" t="n">
        <v>0.05</v>
      </c>
      <c r="C22" s="15">
        <f>'1-参数设定'!C13/(1-A22)</f>
        <v/>
      </c>
      <c r="D22" s="15">
        <f>'1-参数设定'!C13*1.12/(1-B22)</f>
        <v/>
      </c>
      <c r="E22" s="59">
        <f>C22-D22</f>
        <v/>
      </c>
      <c r="F22" s="18">
        <f>IF(E22&gt;0,"非标板 ✓","标准板")</f>
        <v/>
      </c>
    </row>
    <row r="23">
      <c r="A23" s="7" t="n">
        <v>0.25</v>
      </c>
      <c r="B23" s="7" t="n">
        <v>0.06</v>
      </c>
      <c r="C23" s="15">
        <f>'1-参数设定'!C13/(1-A23)</f>
        <v/>
      </c>
      <c r="D23" s="15">
        <f>'1-参数设定'!C13*1.12/(1-B23)</f>
        <v/>
      </c>
      <c r="E23" s="59">
        <f>C23-D23</f>
        <v/>
      </c>
      <c r="F23" s="18">
        <f>IF(E23&gt;0,"非标板 ✓","标准板")</f>
        <v/>
      </c>
    </row>
    <row r="24">
      <c r="A24" s="7" t="n">
        <v>0.3</v>
      </c>
      <c r="B24" s="7" t="n">
        <v>0.07000000000000001</v>
      </c>
      <c r="C24" s="15">
        <f>'1-参数设定'!C13/(1-A24)</f>
        <v/>
      </c>
      <c r="D24" s="15">
        <f>'1-参数设定'!C13*1.12/(1-B24)</f>
        <v/>
      </c>
      <c r="E24" s="59">
        <f>C24-D24</f>
        <v/>
      </c>
      <c r="F24" s="18">
        <f>IF(E24&gt;0,"非标板 ✓","标准板")</f>
        <v/>
      </c>
    </row>
    <row r="26">
      <c r="A26" s="3" t="inlineStr">
        <is>
          <t>▎使用说明</t>
        </is>
      </c>
    </row>
    <row r="27">
      <c r="A27" s="21" t="inlineStr">
        <is>
          <t>1. 所有可调参数集中在"1-参数设定"Sheet（黄色单元格），修改后全部Sheet自动重算。</t>
        </is>
      </c>
      <c r="B27" s="22" t="n"/>
      <c r="C27" s="22" t="n"/>
      <c r="D27" s="22" t="n"/>
      <c r="E27" s="22" t="n"/>
      <c r="F27" s="22" t="n"/>
      <c r="G27" s="23" t="n"/>
    </row>
    <row r="28">
      <c r="A28" s="21" t="inlineStr">
        <is>
          <t>2. 规格选择优化器(Sheet2)：展示单物料×五车间的TCO对比和最优决策。</t>
        </is>
      </c>
      <c r="B28" s="22" t="n"/>
      <c r="C28" s="22" t="n"/>
      <c r="D28" s="22" t="n"/>
      <c r="E28" s="22" t="n"/>
      <c r="F28" s="22" t="n"/>
      <c r="G28" s="23" t="n"/>
    </row>
    <row r="29">
      <c r="A29" s="21" t="inlineStr">
        <is>
          <t>3. 聚合效应计算器(Sheet3)：展示跨车间聚合如何解锁非标板、降低损耗。</t>
        </is>
      </c>
      <c r="B29" s="22" t="n"/>
      <c r="C29" s="22" t="n"/>
      <c r="D29" s="22" t="n"/>
      <c r="E29" s="22" t="n"/>
      <c r="F29" s="22" t="n"/>
      <c r="G29" s="23" t="n"/>
    </row>
    <row r="30">
      <c r="A30" s="21" t="inlineStr">
        <is>
          <t>4. 库存策略优化器(Sheet4)：展示差异化库存策略的量化依据。</t>
        </is>
      </c>
      <c r="B30" s="22" t="n"/>
      <c r="C30" s="22" t="n"/>
      <c r="D30" s="22" t="n"/>
      <c r="E30" s="22" t="n"/>
      <c r="F30" s="22" t="n"/>
      <c r="G30" s="23" t="n"/>
    </row>
    <row r="31">
      <c r="A31" s="21" t="inlineStr">
        <is>
          <t>5. 本仪表板(Sheet5)：汇总所有关键指标，提供敏感性分析。</t>
        </is>
      </c>
      <c r="B31" s="22" t="n"/>
      <c r="C31" s="22" t="n"/>
      <c r="D31" s="22" t="n"/>
      <c r="E31" s="22" t="n"/>
      <c r="F31" s="22" t="n"/>
      <c r="G31" s="23" t="n"/>
    </row>
    <row r="32">
      <c r="A32" s="21" t="inlineStr">
        <is>
          <t>6. 请确保Excel公式计算设置为"自动"（公式→计算选项→自动）。</t>
        </is>
      </c>
      <c r="B32" s="22" t="n"/>
      <c r="C32" s="22" t="n"/>
      <c r="D32" s="22" t="n"/>
      <c r="E32" s="22" t="n"/>
      <c r="F32" s="22" t="n"/>
      <c r="G32" s="23" t="n"/>
    </row>
  </sheetData>
  <mergeCells count="13">
    <mergeCell ref="A32:G32"/>
    <mergeCell ref="A1:G1"/>
    <mergeCell ref="A9:G9"/>
    <mergeCell ref="A18:G18"/>
    <mergeCell ref="A27:G27"/>
    <mergeCell ref="A3:G3"/>
    <mergeCell ref="A31:G31"/>
    <mergeCell ref="D4:F4"/>
    <mergeCell ref="A26:G26"/>
    <mergeCell ref="A30:G30"/>
    <mergeCell ref="A29:G29"/>
    <mergeCell ref="A4:C4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2026-05-29T04:14:02Z</dcterms:created>
  <dcterms:modified xmlns:dcterms="http://purl.org/dc/terms/" xmlns:xsi="http://www.w3.org/2001/XMLSchema-instance" xsi:type="dcterms:W3CDTF">2026-05-29T04:14:02Z</dcterms:modified>
</cp:coreProperties>
</file>